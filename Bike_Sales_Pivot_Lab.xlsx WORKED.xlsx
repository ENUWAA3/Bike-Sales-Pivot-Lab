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 1\"/>
    </mc:Choice>
  </mc:AlternateContent>
  <xr:revisionPtr revIDLastSave="0" documentId="8_{2364DE79-C383-47D6-A560-BAC68B61A59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2" r:id="rId1"/>
    <sheet name="Sheet2" sheetId="3" r:id="rId2"/>
    <sheet name="Sheet3" sheetId="4" r:id="rId3"/>
    <sheet name="Bike Sales" sheetId="1" r:id="rId4"/>
  </sheets>
  <calcPr calcId="191028"/>
  <pivotCaches>
    <pivotCache cacheId="0" r:id="rId5"/>
    <pivotCache cacheId="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<sst xmlns="http://schemas.openxmlformats.org/spreadsheetml/2006/main" count="847" uniqueCount="164">
  <si>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</si>
  <si>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</si>
  <si>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</si>
  <si>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</si>
  <si>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</si>
  <si>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</si>
  <si>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</si>
  <si>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</si>
  <si>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</si>
  <si>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</si>
  <si>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</si>
  <si>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</si>
  <si>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</si>
  <si>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</si>
  <si>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</si>
  <si>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</si>
  <si>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</si>
  <si>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</si>
  <si>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</si>
  <si>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</si>
  <si>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</si>
  <si>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</si>
  <si>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</si>
  <si>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</si>
  <si>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</si>
  <si>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</si>
  <si>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</si>
  <si>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</si>
  <si>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</si>
  <si>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</si>
  <si>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</si>
  <si>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</si>
  <si>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</si>
  <si>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</si>
  <si>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</si>
  <si>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</si>
  <si>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</si>
  <si>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</si>
  <si>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</si>
  <si>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</si>
  <si>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</si>
  <si>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</si>
  <si>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</si>
  <si>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</si>
  <si>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</si>
  <si>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</si>
  <si>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</si>
  <si>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</si>
  <si>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</si>
  <si>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</si>
  <si>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</si>
  <si>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</si>
  <si>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</si>
  <si>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</si>
  <si>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</si>
  <si>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</si>
  <si>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</si>
  <si>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</si>
  <si>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</si>
  <si>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</si>
  <si>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</si>
  <si>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</si>
  <si>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</si>
  <si>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</si>
  <si>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</si>
  <si>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</si>
  <si>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</si>
  <si>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</si>
  <si>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</si>
  <si>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</si>
  <si>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</si>
  <si>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</si>
  <si>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</si>
  <si>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</si>
  <si>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</si>
  <si>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</si>
  <si>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</si>
  <si>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</si>
  <si>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</si>
  <si>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</si>
  <si>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</si>
  <si>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</si>
  <si>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</si>
  <si>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</si>
  <si>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</si>
  <si>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</si>
  <si>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</si>
  <si>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</si>
  <si>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</si>
  <si>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</si>
  <si>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</si>
  <si>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</si>
  <si>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</si>
  <si>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</si>
  <si>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</si>
  <si>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</si>
  <si>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</si>
  <si>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</si>
  <si>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</si>
  <si>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</si>
  <si>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</si>
  <si>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</si>
  <si>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</si>
  <si>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</si>
  <si>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</si>
  <si>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</si>
  <si>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</si>
  <si>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</si>
  <si>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</si>
  <si>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</si>
  <si>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</si>
  <si>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</si>
  <si>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</si>
  <si>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</si>
  <si>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</si>
  <si>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</si>
  <si>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</si>
  <si>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</si>
  <si>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</si>
  <si>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</si>
  <si>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</si>
  <si>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</si>
  <si>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</si>
  <si>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</si>
  <si>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</si>
  <si>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</si>
  <si>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</si>
  <si>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</si>
  <si>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</si>
  <si>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</si>
  <si>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</si>
  <si>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</si>
  <si>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</si>
  <si>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</si>
  <si>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</si>
  <si>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</si>
  <si>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</si>
  <si>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</si>
  <si>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</si>
  <si>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</si>
  <si>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</si>
  <si>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</si>
  <si>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</si>
  <si>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</si>
  <si>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</si>
  <si>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</si>
  <si>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</si>
  <si>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</si>
  <si>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</si>
  <si>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</si>
  <si>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</si>
  <si>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</si>
  <si>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</si>
  <si>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</si>
  <si>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</si>
  <si>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</si>
  <si>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</si>
  <si>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</si>
  <si>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Sum of Revenue</t>
  </si>
  <si>
    <t>Row Labels</t>
  </si>
  <si>
    <t>Grand Total</t>
  </si>
  <si>
    <t>(blank)</t>
  </si>
  <si>
    <t>Sum of Order_Quantity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</si>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</sst>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 WORKED.xlsx]Sheet1!PivotTable1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 States</c:v>
                </c:pt>
                <c:pt idx="5">
                  <c:v>United Kingdom</c:v>
                </c:pt>
                <c:pt idx="6">
                  <c:v>United States</c:v>
                </c:pt>
                <c:pt idx="7">
                  <c:v>United States </c:v>
                </c:pt>
              </c:strCache>
            </c:strRef>
          </c:cat>
          <c:val>
            <c:numRef>
              <c:f>Sheet1!$B$4:$B$12</c:f>
              <c:numCache>
                <c:formatCode>"$"#,##0.00_);[Red]\("$"#,##0.00\)</c:formatCode>
                <c:ptCount val="8"/>
                <c:pt idx="0">
                  <c:v>111506</c:v>
                </c:pt>
                <c:pt idx="1">
                  <c:v>20080</c:v>
                </c:pt>
                <c:pt idx="2">
                  <c:v>46175</c:v>
                </c:pt>
                <c:pt idx="3">
                  <c:v>30010</c:v>
                </c:pt>
                <c:pt idx="4">
                  <c:v>4590</c:v>
                </c:pt>
                <c:pt idx="5">
                  <c:v>19972</c:v>
                </c:pt>
                <c:pt idx="6">
                  <c:v>126604</c:v>
                </c:pt>
                <c:pt idx="7">
                  <c:v>2295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E-47A4-AB26-3C086AA70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068143"/>
        <c:axId val="893070063"/>
      </c:barChart>
      <c:catAx>
        <c:axId val="89306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070063"/>
        <c:crosses val="autoZero"/>
        <c:auto val="1"/>
        <c:lblAlgn val="ctr"/>
        <c:lblOffset val="100"/>
        <c:noMultiLvlLbl val="0"/>
      </c:catAx>
      <c:valAx>
        <c:axId val="89307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06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 WORKED.xlsx]Sheet3!Sales Summary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Sheet3!$B$5:$B$16</c:f>
              <c:numCache>
                <c:formatCode>General</c:formatCode>
                <c:ptCount val="7"/>
                <c:pt idx="0">
                  <c:v>0</c:v>
                </c:pt>
                <c:pt idx="1">
                  <c:v>9</c:v>
                </c:pt>
                <c:pt idx="2">
                  <c:v>2</c:v>
                </c:pt>
                <c:pt idx="3">
                  <c:v>17</c:v>
                </c:pt>
                <c:pt idx="4">
                  <c:v>3</c:v>
                </c:pt>
                <c:pt idx="5">
                  <c:v>17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B-4B87-9A88-015535608E39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Sheet3!$C$5:$C$16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AB-4B87-9A88-015535608E39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Sheet3!$A$5:$A$16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Sheet3!$D$5:$D$16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  <c:pt idx="4">
                  <c:v>9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AB-4B87-9A88-015535608E39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Sheet3!$A$5:$A$16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Sheet3!$E$5:$E$16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AB-4B87-9A88-015535608E39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Sheet3!$A$5:$A$16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Sheet3!$F$5:$F$16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AB-4B87-9A88-015535608E39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Sheet3!$A$5:$A$16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Sheet3!$G$5:$G$16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AB-4B87-9A88-015535608E39}"/>
            </c:ext>
          </c:extLst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Sheet3!$A$5:$A$16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Sheet3!$H$5:$H$16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6</c:v>
                </c:pt>
                <c:pt idx="5">
                  <c:v>27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AB-4B87-9A88-015535608E39}"/>
            </c:ext>
          </c:extLst>
        </c:ser>
        <c:ser>
          <c:idx val="7"/>
          <c:order val="7"/>
          <c:tx>
            <c:strRef>
              <c:f>Sheet3!$I$3:$I$4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Sheet3!$A$5:$A$16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Sheet3!$I$5:$I$16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AB-4B87-9A88-015535608E39}"/>
            </c:ext>
          </c:extLst>
        </c:ser>
        <c:ser>
          <c:idx val="8"/>
          <c:order val="8"/>
          <c:tx>
            <c:strRef>
              <c:f>Sheet3!$J$3:$J$4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Sheet3!$A$5:$A$16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Sheet3!$J$5:$J$16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AB-4B87-9A88-015535608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428287"/>
        <c:axId val="724438367"/>
      </c:barChart>
      <c:catAx>
        <c:axId val="72442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438367"/>
        <c:crosses val="autoZero"/>
        <c:auto val="1"/>
        <c:lblAlgn val="ctr"/>
        <c:lblOffset val="100"/>
        <c:noMultiLvlLbl val="0"/>
      </c:catAx>
      <c:valAx>
        <c:axId val="72443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42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317500</xdr:colOff>
      <xdr:row>0</xdr:row>
      <xdr:rowOff>0</xdr:rowOff>
    </xdr:from>
    <xdr:to>
      <xdr:col>13</xdr:col>
      <xdr:colOff>44450</xdr:colOff>
      <xdr:row>19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06BA94-B623-F27A-14D3-BF813C155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538162</xdr:colOff>
      <xdr:row>3</xdr:row>
      <xdr:rowOff>42862</xdr:rowOff>
    </xdr:from>
    <xdr:to>
      <xdr:col>19</xdr:col>
      <xdr:colOff>233362</xdr:colOff>
      <xdr:row>17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872839-9DE1-0E1D-4C35-D52AAA622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eyeitech eneyeitech" refreshedDate="46083.60337384259" createdVersion="8" refreshedVersion="8" minRefreshableVersion="3" recordCount="88" xr:uid="{42008621-6DBF-47AA-9717-E120F40162D4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/>
    </cacheField>
    <cacheField name="Customer_Gender" numFmtId="0">
      <sharedItems/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3.837294097226" createdVersion="8" refreshedVersion="8" minRefreshableVersion="3" recordCount="89" xr:uid="{32BB9E93-A5FE-40FC-868E-AF84EA88878D}">
  <cacheSource type="worksheet">
    <worksheetSource ref="A1:S1048576" sheet="Bike Sales"/>
  </cacheSource>
  <cacheFields count="19">
    <cacheField name="Sales_Order #" numFmtId="0">
      <sharedItems containsBlank="1"/>
    </cacheField>
    <cacheField name="Date" numFmtId="0">
      <sharedItems containsNonDate="0" containsDate="1" containsString="0" containsBlank="1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 containsBlank="1"/>
    </cacheField>
    <cacheField name="Year" numFmtId="0">
      <sharedItems containsString="0" containsBlank="1" containsNumber="1" containsInteger="1" minValue="2021" maxValue="2021"/>
    </cacheField>
    <cacheField name="Customer_Age" numFmtId="0">
      <sharedItems containsString="0" containsBlank="1" containsNumber="1" containsInteger="1" minValue="17" maxValue="63"/>
    </cacheField>
    <cacheField name="Age_Group" numFmtId="0">
      <sharedItems containsBlank="1" count="4">
        <s v="Adults (35-64)"/>
        <s v="Young Adults (25-34)"/>
        <s v="Youth (&lt;25)"/>
        <m/>
      </sharedItems>
    </cacheField>
    <cacheField name="Customer_Gender" numFmtId="0">
      <sharedItems containsBlank="1" count="3">
        <s v="F"/>
        <s v="M"/>
        <m/>
      </sharedItems>
    </cacheField>
    <cacheField name="Country" numFmtId="0">
      <sharedItems containsBlank="1" count="9">
        <s v="United States"/>
        <s v="United Kingdom"/>
        <s v="Australia"/>
        <s v="United  States"/>
        <s v="United States "/>
        <s v="Germany"/>
        <s v="Canada"/>
        <s v="France"/>
        <m/>
      </sharedItems>
    </cacheField>
    <cacheField name="State" numFmtId="0">
      <sharedItems containsBlank="1"/>
    </cacheField>
    <cacheField name="Product_Category" numFmtId="0">
      <sharedItems containsBlank="1"/>
    </cacheField>
    <cacheField name="Sub_Category" numFmtId="0">
      <sharedItems containsBlank="1"/>
    </cacheField>
    <cacheField name="Product_Description" numFmtId="0">
      <sharedItems containsBlank="1"/>
    </cacheField>
    <cacheField name="Order_Quantity" numFmtId="0">
      <sharedItems containsString="0" containsBlank="1" containsNumber="1" containsInteger="1" minValue="1" maxValue="4"/>
    </cacheField>
    <cacheField name=" Unit_Cost " numFmtId="0">
      <sharedItems containsString="0" containsBlank="1" containsNumber="1" containsInteger="1" minValue="295" maxValue="1912"/>
    </cacheField>
    <cacheField name=" Unit_Price " numFmtId="0">
      <sharedItems containsString="0" containsBlank="1" containsNumber="1" containsInteger="1" minValue="540" maxValue="3400"/>
    </cacheField>
    <cacheField name=" Profit " numFmtId="0">
      <sharedItems containsString="0" containsBlank="1" containsNumber="1" containsInteger="1" minValue="245" maxValue="5908"/>
    </cacheField>
    <cacheField name=" Cost " numFmtId="0">
      <sharedItems containsString="0" containsBlank="1" containsNumber="1" containsInteger="1" minValue="295" maxValue="7592"/>
    </cacheField>
    <cacheField name="Revenue" numFmtId="0">
      <sharedItems containsString="0" containsBlank="1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s v="Adults (35-64)"/>
    <s v="F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s v="Adults (35-64)"/>
    <s v="M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s v="Adults (35-64)"/>
    <s v="M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s v="Young Adults (25-34)"/>
    <s v="F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s v="Adults (35-64)"/>
    <s v="F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s v="Youth (&lt;25)"/>
    <s v="F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s v="Adults (35-64)"/>
    <s v="M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s v="Young Adults (25-34)"/>
    <s v="F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s v="Adults (35-64)"/>
    <s v="F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s v="Adults (35-64)"/>
    <s v="M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s v="Adults (35-64)"/>
    <s v="F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s v="Adults (35-64)"/>
    <s v="F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s v="Youth (&lt;25)"/>
    <s v="M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s v="Young Adults (25-34)"/>
    <s v="M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s v="Adults (35-64)"/>
    <s v="M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s v="Adults (35-64)"/>
    <s v="M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s v="Young Adults (25-34)"/>
    <s v="M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s v="Adults (35-64)"/>
    <s v="M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s v="Youth (&lt;25)"/>
    <s v="F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s v="Young Adults (25-34)"/>
    <s v="F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s v="Adults (35-64)"/>
    <s v="F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s v="Adults (35-64)"/>
    <s v="F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s v="Young Adults (25-34)"/>
    <s v="F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s v="Adults (35-64)"/>
    <s v="F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s v="Young Adults (25-34)"/>
    <s v="F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s v="Adults (35-64)"/>
    <s v="M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s v="Young Adults (25-34)"/>
    <s v="M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s v="Young Adults (25-34)"/>
    <s v="M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s v="Young Adults (25-34)"/>
    <s v="F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s v="Adults (35-64)"/>
    <s v="M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s v="Youth (&lt;25)"/>
    <s v="F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s v="Adults (35-64)"/>
    <s v="F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s v="Young Adults (25-34)"/>
    <s v="M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s v="Adults (35-64)"/>
    <s v="M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s v="Adults (35-64)"/>
    <s v="F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s v="Adults (35-64)"/>
    <s v="F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s v="Adults (35-64)"/>
    <s v="M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s v="Young Adults (25-34)"/>
    <s v="M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s v="Adults (35-64)"/>
    <s v="F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s v="Adults (35-64)"/>
    <s v="F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s v="Young Adults (25-34)"/>
    <s v="F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s v="Adults (35-64)"/>
    <s v="F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s v="Adults (35-64)"/>
    <s v="F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s v="Adults (35-64)"/>
    <s v="M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s v="Young Adults (25-34)"/>
    <s v="F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s v="Young Adults (25-34)"/>
    <s v="M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s v="Young Adults (25-34)"/>
    <s v="F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s v="Young Adults (25-34)"/>
    <s v="F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s v="Young Adults (25-34)"/>
    <s v="F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s v="Adults (35-64)"/>
    <s v="M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s v="Young Adults (25-34)"/>
    <s v="F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s v="Adults (35-64)"/>
    <s v="F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s v="Young Adults (25-34)"/>
    <s v="M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s v="Adults (35-64)"/>
    <s v="F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s v="Adults (35-64)"/>
    <s v="F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s v="Adults (35-64)"/>
    <s v="F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s v="Youth (&lt;25)"/>
    <s v="F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s v="Young Adults (25-34)"/>
    <s v="F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s v="Adults (35-64)"/>
    <s v="M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s v="Young Adults (25-34)"/>
    <s v="M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s v="Adults (35-64)"/>
    <s v="M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s v="Youth (&lt;25)"/>
    <s v="M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s v="Youth (&lt;25)"/>
    <s v="F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s v="Young Adults (25-34)"/>
    <s v="M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s v="Adults (35-64)"/>
    <s v="F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s v="Adults (35-64)"/>
    <s v="M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s v="Adults (35-64)"/>
    <s v="F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s v="Adults (35-64)"/>
    <s v="F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s v="Youth (&lt;25)"/>
    <s v="M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s v="Adults (35-64)"/>
    <s v="F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s v="Adults (35-64)"/>
    <s v="F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s v="Young Adults (25-34)"/>
    <s v="F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s v="Adults (35-64)"/>
    <s v="M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s v="Young Adults (25-34)"/>
    <s v="M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s v="Adults (35-64)"/>
    <s v="F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s v="Adults (35-64)"/>
    <s v="M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s v="Young Adults (25-34)"/>
    <s v="M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s v="Youth (&lt;25)"/>
    <s v="M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s v="Young Adults (25-34)"/>
    <s v="F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s v="Adults (35-64)"/>
    <s v="M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s v="Youth (&lt;25)"/>
    <s v="F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s v="Young Adults (25-34)"/>
    <s v="M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s v="Young Adults (25-34)"/>
    <s v="F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s v="Adults (35-64)"/>
    <s v="M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s v="Young Adults (25-34)"/>
    <s v="F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s v="Young Adults (25-34)"/>
    <s v="F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s v="Adults (35-64)"/>
    <s v="F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s v="Adults (35-64)"/>
    <s v="M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  <r>
    <m/>
    <m/>
    <m/>
    <m/>
    <m/>
    <m/>
    <x v="3"/>
    <x v="2"/>
    <x v="8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7F1EF-D205-4679-94A5-5AE5F9CAFAE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numFmtId="8" showAll="0"/>
    <pivotField numFmtId="8" showAll="0"/>
    <pivotField numFmtId="8" showAll="0"/>
    <pivotField numFmtId="8" showAll="0"/>
    <pivotField dataField="1" numFmtId="8"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18" baseField="0" baseItem="0" numFmtId="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2ACFC-6926-44F8-9E2D-0D6E17EED19C}" name="Sales Summary" cacheId="6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7">
  <location ref="A3:K16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2"/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10">
        <item x="2"/>
        <item x="6"/>
        <item x="7"/>
        <item x="5"/>
        <item x="3"/>
        <item x="1"/>
        <item x="0"/>
        <item x="4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6"/>
    <field x="7"/>
  </rowFields>
  <rowItems count="12">
    <i>
      <x/>
    </i>
    <i r="1">
      <x v="2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8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Order_Quantity" fld="13" baseField="0" baseItem="0"/>
  </dataFields>
  <formats count="7">
    <format dxfId="42">
      <pivotArea outline="0" collapsedLevelsAreSubtotals="1" fieldPosition="0">
        <references count="1">
          <reference field="8" count="1" selected="0">
            <x v="0"/>
          </reference>
        </references>
      </pivotArea>
    </format>
    <format dxfId="43">
      <pivotArea field="8" type="button" dataOnly="0" labelOnly="1" outline="0" axis="axisCol" fieldPosition="0"/>
    </format>
    <format dxfId="44">
      <pivotArea dataOnly="0" labelOnly="1" fieldPosition="0">
        <references count="1">
          <reference field="8" count="1">
            <x v="0"/>
          </reference>
        </references>
      </pivotArea>
    </format>
    <format dxfId="45">
      <pivotArea outline="0" collapsedLevelsAreSubtotals="1" fieldPosition="0">
        <references count="1">
          <reference field="8" count="1" selected="0">
            <x v="1"/>
          </reference>
        </references>
      </pivotArea>
    </format>
    <format dxfId="46">
      <pivotArea type="topRight" dataOnly="0" labelOnly="1" outline="0" fieldPosition="0"/>
    </format>
    <format dxfId="47">
      <pivotArea dataOnly="0" labelOnly="1" fieldPosition="0">
        <references count="1">
          <reference field="8" count="1">
            <x v="1"/>
          </reference>
        </references>
      </pivotArea>
    </format>
    <format dxfId="48">
      <pivotArea outline="0" collapsedLevelsAreSubtotals="1" fieldPosition="0">
        <references count="1">
          <reference field="8" count="1" selected="0">
            <x v="2"/>
          </reference>
        </references>
      </pivotArea>
    </format>
  </formats>
  <chartFormats count="9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B009E-31E6-4208-9ABD-CC30368F0257}">
  <dimension ref="A3:B12"/>
  <sheetViews>
    <sheetView workbookViewId="0">
      <selection activeCell="A8" sqref="A8"/>
    </sheetView>
  </sheetViews>
  <sheetFormatPr defaultRowHeight="15" x14ac:dyDescent="0.25"/>
  <cols>
    <col min="1" max="1" width="14.140625" bestFit="1" customWidth="1"/>
    <col min="2" max="2" width="14.42578125" bestFit="1" customWidth="1"/>
  </cols>
  <sheetData>
    <row r="3" spans="1:2" x14ac:dyDescent="0.25">
      <c r="A3" s="9" t="s">
        <v>159</v>
      </c>
      <c r="B3" t="s">
        <v>158</v>
      </c>
    </row>
    <row r="4" spans="1:2" x14ac:dyDescent="0.25">
      <c r="A4" s="8" t="s">
        <v>36</v>
      </c>
      <c r="B4" s="2">
        <v>111506</v>
      </c>
    </row>
    <row r="5" spans="1:2" x14ac:dyDescent="0.25">
      <c r="A5" s="8" t="s">
        <v>58</v>
      </c>
      <c r="B5" s="2">
        <v>20080</v>
      </c>
    </row>
    <row r="6" spans="1:2" x14ac:dyDescent="0.25">
      <c r="A6" s="8" t="s">
        <v>87</v>
      </c>
      <c r="B6" s="2">
        <v>46175</v>
      </c>
    </row>
    <row r="7" spans="1:2" x14ac:dyDescent="0.25">
      <c r="A7" s="8" t="s">
        <v>50</v>
      </c>
      <c r="B7" s="2">
        <v>30010</v>
      </c>
    </row>
    <row r="8" spans="1:2" x14ac:dyDescent="0.25">
      <c r="A8" s="8" t="s">
        <v>40</v>
      </c>
      <c r="B8" s="2">
        <v>4590</v>
      </c>
    </row>
    <row r="9" spans="1:2" x14ac:dyDescent="0.25">
      <c r="A9" s="8" t="s">
        <v>29</v>
      </c>
      <c r="B9" s="2">
        <v>19972</v>
      </c>
    </row>
    <row r="10" spans="1:2" x14ac:dyDescent="0.25">
      <c r="A10" s="8" t="s">
        <v>23</v>
      </c>
      <c r="B10" s="2">
        <v>126604</v>
      </c>
    </row>
    <row r="11" spans="1:2" x14ac:dyDescent="0.25">
      <c r="A11" s="8" t="s">
        <v>45</v>
      </c>
      <c r="B11" s="2">
        <v>2295</v>
      </c>
    </row>
    <row r="12" spans="1:2" x14ac:dyDescent="0.25">
      <c r="A12" s="8" t="s">
        <v>160</v>
      </c>
      <c r="B12" s="2">
        <v>361232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B60A-BB30-4F37-8694-78A03F436C72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4508-9E4B-4E56-B9BA-7FDEFBF9A4F5}">
  <dimension ref="A1:K16"/>
  <sheetViews>
    <sheetView tabSelected="1" workbookViewId="0">
      <selection activeCell="A13" sqref="A13"/>
    </sheetView>
  </sheetViews>
  <sheetFormatPr defaultRowHeight="15" x14ac:dyDescent="0.25"/>
  <cols>
    <col min="1" max="1" width="21.85546875" bestFit="1" customWidth="1"/>
    <col min="2" max="2" width="18.5703125" style="12" bestFit="1" customWidth="1"/>
    <col min="3" max="3" width="7.42578125" style="12" bestFit="1" customWidth="1"/>
    <col min="4" max="4" width="6.85546875" style="12" bestFit="1" customWidth="1"/>
    <col min="5" max="5" width="9.140625" style="12" bestFit="1" customWidth="1"/>
    <col min="6" max="6" width="13.5703125" style="12" bestFit="1" customWidth="1"/>
    <col min="7" max="7" width="15.5703125" style="12" bestFit="1" customWidth="1"/>
    <col min="8" max="8" width="13.140625" style="12" bestFit="1" customWidth="1"/>
    <col min="9" max="9" width="13.5703125" style="12" bestFit="1" customWidth="1"/>
    <col min="10" max="10" width="7.28515625" style="12" bestFit="1" customWidth="1"/>
    <col min="11" max="11" width="11.28515625" style="12" bestFit="1" customWidth="1"/>
  </cols>
  <sheetData>
    <row r="1" spans="1:11" x14ac:dyDescent="0.25">
      <c r="A1" s="12"/>
    </row>
    <row r="3" spans="1:11" x14ac:dyDescent="0.25">
      <c r="A3" s="9" t="s">
        <v>162</v>
      </c>
      <c r="B3" s="13" t="s">
        <v>163</v>
      </c>
    </row>
    <row r="4" spans="1:11" x14ac:dyDescent="0.25">
      <c r="A4" s="9" t="s">
        <v>159</v>
      </c>
      <c r="B4" s="12" t="s">
        <v>36</v>
      </c>
      <c r="C4" s="12" t="s">
        <v>58</v>
      </c>
      <c r="D4" t="s">
        <v>87</v>
      </c>
      <c r="E4" t="s">
        <v>50</v>
      </c>
      <c r="F4" t="s">
        <v>40</v>
      </c>
      <c r="G4" t="s">
        <v>29</v>
      </c>
      <c r="H4" t="s">
        <v>23</v>
      </c>
      <c r="I4" t="s">
        <v>45</v>
      </c>
      <c r="J4" t="s">
        <v>161</v>
      </c>
      <c r="K4" t="s">
        <v>160</v>
      </c>
    </row>
    <row r="5" spans="1:11" x14ac:dyDescent="0.25">
      <c r="A5" s="8" t="s">
        <v>161</v>
      </c>
      <c r="B5" s="14">
        <v>0</v>
      </c>
      <c r="C5" s="14">
        <v>0</v>
      </c>
      <c r="D5" s="14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</row>
    <row r="6" spans="1:11" x14ac:dyDescent="0.25">
      <c r="A6" s="11" t="s">
        <v>161</v>
      </c>
      <c r="B6" s="14">
        <v>0</v>
      </c>
      <c r="C6" s="14">
        <v>0</v>
      </c>
      <c r="D6" s="14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</row>
    <row r="7" spans="1:11" x14ac:dyDescent="0.25">
      <c r="A7" s="8" t="s">
        <v>42</v>
      </c>
      <c r="B7" s="14">
        <v>11</v>
      </c>
      <c r="C7" s="14">
        <v>0</v>
      </c>
      <c r="D7" s="14">
        <v>10</v>
      </c>
      <c r="E7" s="10">
        <v>0</v>
      </c>
      <c r="F7" s="10">
        <v>0</v>
      </c>
      <c r="G7" s="10">
        <v>6</v>
      </c>
      <c r="H7" s="10">
        <v>0</v>
      </c>
      <c r="I7" s="10">
        <v>0</v>
      </c>
      <c r="J7" s="10">
        <v>0</v>
      </c>
      <c r="K7" s="10">
        <v>27</v>
      </c>
    </row>
    <row r="8" spans="1:11" x14ac:dyDescent="0.25">
      <c r="A8" s="11" t="s">
        <v>22</v>
      </c>
      <c r="B8" s="14">
        <v>9</v>
      </c>
      <c r="C8" s="14">
        <v>0</v>
      </c>
      <c r="D8" s="14">
        <v>6</v>
      </c>
      <c r="E8" s="10">
        <v>0</v>
      </c>
      <c r="F8" s="10">
        <v>0</v>
      </c>
      <c r="G8" s="10">
        <v>1</v>
      </c>
      <c r="H8" s="10">
        <v>0</v>
      </c>
      <c r="I8" s="10">
        <v>0</v>
      </c>
      <c r="J8" s="10">
        <v>0</v>
      </c>
      <c r="K8" s="10">
        <v>16</v>
      </c>
    </row>
    <row r="9" spans="1:11" x14ac:dyDescent="0.25">
      <c r="A9" s="11" t="s">
        <v>28</v>
      </c>
      <c r="B9" s="14">
        <v>2</v>
      </c>
      <c r="C9" s="14">
        <v>0</v>
      </c>
      <c r="D9" s="14">
        <v>4</v>
      </c>
      <c r="E9" s="10">
        <v>0</v>
      </c>
      <c r="F9" s="10">
        <v>0</v>
      </c>
      <c r="G9" s="10">
        <v>5</v>
      </c>
      <c r="H9" s="10">
        <v>0</v>
      </c>
      <c r="I9" s="10">
        <v>0</v>
      </c>
      <c r="J9" s="10">
        <v>0</v>
      </c>
      <c r="K9" s="10">
        <v>11</v>
      </c>
    </row>
    <row r="10" spans="1:11" x14ac:dyDescent="0.25">
      <c r="A10" s="8" t="s">
        <v>35</v>
      </c>
      <c r="B10" s="14">
        <v>20</v>
      </c>
      <c r="C10" s="14">
        <v>11</v>
      </c>
      <c r="D10" s="14">
        <v>10</v>
      </c>
      <c r="E10" s="10">
        <v>0</v>
      </c>
      <c r="F10" s="10">
        <v>0</v>
      </c>
      <c r="G10" s="10">
        <v>4</v>
      </c>
      <c r="H10" s="10">
        <v>16</v>
      </c>
      <c r="I10" s="10">
        <v>0</v>
      </c>
      <c r="J10" s="10">
        <v>0</v>
      </c>
      <c r="K10" s="10">
        <v>61</v>
      </c>
    </row>
    <row r="11" spans="1:11" x14ac:dyDescent="0.25">
      <c r="A11" s="11" t="s">
        <v>22</v>
      </c>
      <c r="B11" s="14">
        <v>17</v>
      </c>
      <c r="C11" s="14">
        <v>6</v>
      </c>
      <c r="D11" s="14">
        <v>1</v>
      </c>
      <c r="E11" s="10">
        <v>0</v>
      </c>
      <c r="F11" s="10">
        <v>0</v>
      </c>
      <c r="G11" s="10">
        <v>3</v>
      </c>
      <c r="H11" s="10">
        <v>10</v>
      </c>
      <c r="I11" s="10">
        <v>0</v>
      </c>
      <c r="J11" s="10">
        <v>0</v>
      </c>
      <c r="K11" s="10">
        <v>37</v>
      </c>
    </row>
    <row r="12" spans="1:11" x14ac:dyDescent="0.25">
      <c r="A12" s="11" t="s">
        <v>28</v>
      </c>
      <c r="B12" s="14">
        <v>3</v>
      </c>
      <c r="C12" s="14">
        <v>5</v>
      </c>
      <c r="D12" s="14">
        <v>9</v>
      </c>
      <c r="E12" s="10">
        <v>0</v>
      </c>
      <c r="F12" s="10">
        <v>0</v>
      </c>
      <c r="G12" s="10">
        <v>1</v>
      </c>
      <c r="H12" s="10">
        <v>6</v>
      </c>
      <c r="I12" s="10">
        <v>0</v>
      </c>
      <c r="J12" s="10">
        <v>0</v>
      </c>
      <c r="K12" s="10">
        <v>24</v>
      </c>
    </row>
    <row r="13" spans="1:11" x14ac:dyDescent="0.25">
      <c r="A13" s="8" t="s">
        <v>21</v>
      </c>
      <c r="B13" s="14">
        <v>32</v>
      </c>
      <c r="C13" s="14">
        <v>0</v>
      </c>
      <c r="D13" s="14">
        <v>0</v>
      </c>
      <c r="E13" s="10">
        <v>13</v>
      </c>
      <c r="F13" s="10">
        <v>2</v>
      </c>
      <c r="G13" s="10">
        <v>4</v>
      </c>
      <c r="H13" s="10">
        <v>47</v>
      </c>
      <c r="I13" s="10">
        <v>1</v>
      </c>
      <c r="J13" s="10">
        <v>0</v>
      </c>
      <c r="K13" s="10">
        <v>99</v>
      </c>
    </row>
    <row r="14" spans="1:11" x14ac:dyDescent="0.25">
      <c r="A14" s="11" t="s">
        <v>22</v>
      </c>
      <c r="B14" s="14">
        <v>17</v>
      </c>
      <c r="C14" s="14">
        <v>0</v>
      </c>
      <c r="D14" s="14">
        <v>0</v>
      </c>
      <c r="E14" s="10">
        <v>8</v>
      </c>
      <c r="F14" s="10">
        <v>2</v>
      </c>
      <c r="G14" s="10">
        <v>1</v>
      </c>
      <c r="H14" s="10">
        <v>27</v>
      </c>
      <c r="I14" s="10">
        <v>0</v>
      </c>
      <c r="J14" s="10">
        <v>0</v>
      </c>
      <c r="K14" s="10">
        <v>55</v>
      </c>
    </row>
    <row r="15" spans="1:11" x14ac:dyDescent="0.25">
      <c r="A15" s="11" t="s">
        <v>28</v>
      </c>
      <c r="B15" s="14">
        <v>15</v>
      </c>
      <c r="C15" s="14">
        <v>0</v>
      </c>
      <c r="D15" s="14">
        <v>0</v>
      </c>
      <c r="E15" s="10">
        <v>5</v>
      </c>
      <c r="F15" s="10">
        <v>0</v>
      </c>
      <c r="G15" s="10">
        <v>3</v>
      </c>
      <c r="H15" s="10">
        <v>20</v>
      </c>
      <c r="I15" s="10">
        <v>1</v>
      </c>
      <c r="J15" s="10">
        <v>0</v>
      </c>
      <c r="K15" s="10">
        <v>44</v>
      </c>
    </row>
    <row r="16" spans="1:11" x14ac:dyDescent="0.25">
      <c r="A16" s="8" t="s">
        <v>160</v>
      </c>
      <c r="B16" s="14">
        <v>63</v>
      </c>
      <c r="C16" s="14">
        <v>11</v>
      </c>
      <c r="D16" s="14">
        <v>20</v>
      </c>
      <c r="E16" s="10">
        <v>13</v>
      </c>
      <c r="F16" s="10">
        <v>2</v>
      </c>
      <c r="G16" s="10">
        <v>14</v>
      </c>
      <c r="H16" s="10">
        <v>63</v>
      </c>
      <c r="I16" s="10">
        <v>1</v>
      </c>
      <c r="J16" s="10">
        <v>0</v>
      </c>
      <c r="K16" s="10">
        <v>187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sqref="A1:XFD1048576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USER</cp:lastModifiedBy>
  <cp:revision/>
  <dcterms:created xsi:type="dcterms:W3CDTF">2022-11-04T20:14:11Z</dcterms:created>
  <dcterms:modified xsi:type="dcterms:W3CDTF">2026-09-09T03:47:37Z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